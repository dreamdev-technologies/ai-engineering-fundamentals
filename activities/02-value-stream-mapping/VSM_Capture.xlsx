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in\Documents\ai-engineering-fundamentals\activities\02-value-stream-mapping\"/>
    </mc:Choice>
  </mc:AlternateContent>
  <xr:revisionPtr revIDLastSave="0" documentId="13_ncr:1_{87D39CE0-F69D-4DB5-B943-3884BAA3C7EB}" xr6:coauthVersionLast="47" xr6:coauthVersionMax="47" xr10:uidLastSave="{00000000-0000-0000-0000-000000000000}"/>
  <bookViews>
    <workbookView xWindow="-110" yWindow="-110" windowWidth="25820" windowHeight="15500" xr2:uid="{E4379099-2B54-456F-BC82-00CDA235F126}"/>
  </bookViews>
  <sheets>
    <sheet name="VSM Template" sheetId="1" r:id="rId1"/>
    <sheet name="Worked Examp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2" l="1"/>
  <c r="C14" i="2" s="1"/>
  <c r="C15" i="2" s="1"/>
  <c r="B13" i="2"/>
  <c r="B14" i="2" s="1"/>
  <c r="B15" i="2" s="1"/>
  <c r="C31" i="1"/>
  <c r="B31" i="1"/>
  <c r="B28" i="1"/>
  <c r="B27" i="1"/>
  <c r="A24" i="1"/>
  <c r="B19" i="1" a="1"/>
  <c r="B19" i="1" s="1"/>
  <c r="B24" i="1" s="1"/>
  <c r="B16" i="1"/>
  <c r="B15" i="1"/>
  <c r="B14" i="1"/>
  <c r="B17" i="1" l="1"/>
  <c r="B25" i="1"/>
  <c r="B26" i="1" s="1"/>
  <c r="B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<sst xmlns="http://schemas.openxmlformats.org/spreadsheetml/2006/main" count="52" uniqueCount="51">
  <si>
    <t>Value stream map — template</t>
  </si>
  <si>
    <t>Shown on screen; each group copies the layout onto paper or a whiteboard.</t>
  </si>
  <si>
    <t>Fill in the stages the change really went through, left to right.</t>
  </si>
  <si>
    <t>Change mapped:</t>
  </si>
  <si>
    <t>Group:</t>
  </si>
  <si>
    <t>The map</t>
  </si>
  <si>
    <t>Stage 1</t>
  </si>
  <si>
    <t>Stage 2</t>
  </si>
  <si>
    <t>Stage 3</t>
  </si>
  <si>
    <t>Stage 4</t>
  </si>
  <si>
    <t>Stage 5</t>
  </si>
  <si>
    <t>Stage 6</t>
  </si>
  <si>
    <t>Stage 7</t>
  </si>
  <si>
    <t>Stage name</t>
  </si>
  <si>
    <t>Process time — someone working on it (days)</t>
  </si>
  <si>
    <t>Wait time — sitting in a queue (days)</t>
  </si>
  <si>
    <t>%C/A — next stage could use it as handed over</t>
  </si>
  <si>
    <t>Totals</t>
  </si>
  <si>
    <t>Total lead time (all process time + all wait time)</t>
  </si>
  <si>
    <t>Total process time</t>
  </si>
  <si>
    <t>Total wait time</t>
  </si>
  <si>
    <t>Activity ratio (process time / lead time)</t>
  </si>
  <si>
    <t>Which stage is development? (enter 1–7)</t>
  </si>
  <si>
    <t>Development process time</t>
  </si>
  <si>
    <t>The arithmetic</t>
  </si>
  <si>
    <t>Coding made faster by</t>
  </si>
  <si>
    <t>New total lead time</t>
  </si>
  <si>
    <t>Improvement in lead time</t>
  </si>
  <si>
    <t>Lowest %C/A on the map</t>
  </si>
  <si>
    <t>… and where</t>
  </si>
  <si>
    <t>Longest wait on the map …</t>
  </si>
  <si>
    <t>… what would it take to halve it?</t>
  </si>
  <si>
    <t>… what would it take to raise the lowest %C/A?</t>
  </si>
  <si>
    <t>For comparison — two worked examples from the opening talk</t>
  </si>
  <si>
    <t>Neither has %C/A per stage; both have a total first-time-through figure.</t>
  </si>
  <si>
    <t>Project team</t>
  </si>
  <si>
    <t>Product team</t>
  </si>
  <si>
    <t>Stages</t>
  </si>
  <si>
    <t>Requirements, design, development, testing, deployment</t>
  </si>
  <si>
    <t>Discovery, planning, development, validation, release</t>
  </si>
  <si>
    <t>Lead time (days)</t>
  </si>
  <si>
    <t>Process time (days)</t>
  </si>
  <si>
    <t>Wait time (days)</t>
  </si>
  <si>
    <t>Right first time</t>
  </si>
  <si>
    <t>Development share of lead time</t>
  </si>
  <si>
    <t>Development process time (days)</t>
  </si>
  <si>
    <t>Lead time saved by faster coding (days)</t>
  </si>
  <si>
    <t>Lead time saved (% of lead time)</t>
  </si>
  <si>
    <t>Development's share of lead time (dev PT / lead time)</t>
  </si>
  <si>
    <t>If faster coding makes more changes, what happens there?</t>
  </si>
  <si>
    <t>Hot Spot!!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</si>
</sst>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1" xfId="0" applyFont="1" applyBorder="1"/>
    <xf numFmtId="0" fontId="1" fillId="0" borderId="0" xfId="0" applyFont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9" fontId="4" fillId="3" borderId="3" xfId="0" applyNumberFormat="1" applyFont="1" applyFill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4" fillId="3" borderId="0" xfId="0" applyNumberFormat="1" applyFont="1" applyFill="1" applyAlignment="1">
      <alignment horizontal="center"/>
    </xf>
    <xf numFmtId="9" fontId="4" fillId="3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2" borderId="0" xfId="0" applyFont="1" applyFill="1" applyBorder="1" applyAlignment="1"/>
    <xf numFmtId="0" fontId="0" fillId="0" borderId="0" xfId="0" applyAlignment="1"/>
    <xf numFmtId="0" fontId="5" fillId="2" borderId="0" xfId="0" applyFont="1" applyFill="1" applyAlignment="1"/>
    <xf numFmtId="0" fontId="1" fillId="0" borderId="0" xfId="0" applyFont="1" applyFill="1" applyBorder="1" applyAlignment="1">
      <alignment indent="1"/>
    </xf>
    <xf numFmtId="0" fontId="0" fillId="0" borderId="0" xfId="0" applyAlignment="1">
      <alignment indent="1"/>
    </xf>
    <xf numFmtId="0" fontId="5" fillId="2" borderId="0" xfId="0" applyFont="1" applyFill="1" applyBorder="1" applyAlignment="1"/>
    <xf numFmtId="0" fontId="6" fillId="0" borderId="0" xfId="0" applyFont="1"/>
    <xf numFmtId="0" fontId="0" fillId="2" borderId="3" xfId="0" applyFill="1" applyBorder="1"/>
    <xf numFmtId="0" fontId="5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1" fontId="0" fillId="0" borderId="3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9" fontId="4" fillId="3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10E13E-C04A-4C13-98F2-7A425ADA9E2B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2af68083-8865-4b6f-ae4c-c74a2f692ab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416D-2564-4943-AFB0-AC076681185A}">
  <dimension ref="A1:H34"/>
  <sheetViews>
    <sheetView tabSelected="1" workbookViewId="0">
      <pane xSplit="1" topLeftCell="B1" activePane="topRight" state="frozen"/>
      <selection activeCell="A6" sqref="A6"/>
      <selection pane="topRight" activeCell="C17" sqref="C17"/>
    </sheetView>
  </sheetViews>
  <sheetFormatPr defaultRowHeight="14.5" x14ac:dyDescent="0.35"/>
  <cols>
    <col min="1" max="1" width="50.7265625" customWidth="1"/>
    <col min="2" max="8" width="15.453125" customWidth="1"/>
  </cols>
  <sheetData>
    <row r="1" spans="1:8" ht="21" x14ac:dyDescent="0.5">
      <c r="A1" s="1" t="s">
        <v>0</v>
      </c>
    </row>
    <row r="2" spans="1:8" x14ac:dyDescent="0.35">
      <c r="A2" s="2" t="s">
        <v>1</v>
      </c>
    </row>
    <row r="3" spans="1:8" x14ac:dyDescent="0.35">
      <c r="A3" s="2" t="s">
        <v>2</v>
      </c>
    </row>
    <row r="5" spans="1:8" x14ac:dyDescent="0.35">
      <c r="A5" s="3" t="s">
        <v>3</v>
      </c>
      <c r="B5" s="4"/>
      <c r="C5" s="11"/>
      <c r="D5" s="11"/>
      <c r="E5" s="11"/>
      <c r="F5" s="5" t="s">
        <v>4</v>
      </c>
      <c r="G5" s="4"/>
      <c r="H5" s="11"/>
    </row>
    <row r="7" spans="1:8" ht="20" customHeight="1" x14ac:dyDescent="0.35">
      <c r="A7" s="6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</row>
    <row r="8" spans="1:8" ht="20" customHeight="1" x14ac:dyDescent="0.35">
      <c r="A8" s="3" t="s">
        <v>13</v>
      </c>
      <c r="B8" s="8"/>
      <c r="C8" s="8"/>
      <c r="D8" s="8"/>
      <c r="E8" s="8"/>
      <c r="F8" s="8"/>
      <c r="G8" s="8"/>
      <c r="H8" s="8"/>
    </row>
    <row r="9" spans="1:8" ht="20" customHeight="1" x14ac:dyDescent="0.35">
      <c r="A9" s="3" t="s">
        <v>14</v>
      </c>
      <c r="B9" s="9"/>
      <c r="C9" s="9"/>
      <c r="D9" s="9"/>
      <c r="E9" s="9"/>
      <c r="F9" s="9"/>
      <c r="G9" s="9"/>
      <c r="H9" s="9"/>
    </row>
    <row r="10" spans="1:8" ht="20" customHeight="1" x14ac:dyDescent="0.35">
      <c r="A10" s="3" t="s">
        <v>15</v>
      </c>
      <c r="B10" s="9"/>
      <c r="C10" s="9"/>
      <c r="D10" s="9"/>
      <c r="E10" s="9"/>
      <c r="F10" s="9"/>
      <c r="G10" s="9"/>
      <c r="H10" s="9"/>
    </row>
    <row r="11" spans="1:8" ht="20" customHeight="1" x14ac:dyDescent="0.35">
      <c r="A11" s="3" t="s">
        <v>16</v>
      </c>
      <c r="B11" s="10"/>
      <c r="C11" s="10"/>
      <c r="D11" s="10"/>
      <c r="E11" s="10"/>
      <c r="F11" s="10"/>
      <c r="G11" s="10"/>
      <c r="H11" s="10"/>
    </row>
    <row r="13" spans="1:8" x14ac:dyDescent="0.35">
      <c r="A13" s="26" t="s">
        <v>17</v>
      </c>
      <c r="B13" s="26"/>
    </row>
    <row r="14" spans="1:8" x14ac:dyDescent="0.35">
      <c r="A14" s="24" t="s">
        <v>18</v>
      </c>
      <c r="B14" s="14">
        <f>SUM(B9:H10)</f>
        <v>0</v>
      </c>
    </row>
    <row r="15" spans="1:8" x14ac:dyDescent="0.35">
      <c r="A15" s="24" t="s">
        <v>19</v>
      </c>
      <c r="B15" s="14">
        <f>SUM(B9:H9)</f>
        <v>0</v>
      </c>
    </row>
    <row r="16" spans="1:8" x14ac:dyDescent="0.35">
      <c r="A16" s="24" t="s">
        <v>20</v>
      </c>
      <c r="B16" s="14">
        <f>SUM(B10:H10)</f>
        <v>0</v>
      </c>
    </row>
    <row r="17" spans="1:8" x14ac:dyDescent="0.35">
      <c r="A17" s="24" t="s">
        <v>21</v>
      </c>
      <c r="B17" s="15" t="str">
        <f>IF(B14=0,"",B15/B14)</f>
        <v/>
      </c>
    </row>
    <row r="18" spans="1:8" x14ac:dyDescent="0.35">
      <c r="A18" s="24" t="s">
        <v>22</v>
      </c>
      <c r="B18" s="16">
        <v>3</v>
      </c>
    </row>
    <row r="19" spans="1:8" x14ac:dyDescent="0.35">
      <c r="A19" s="24" t="s">
        <v>23</v>
      </c>
      <c r="B19" s="14" cm="1">
        <f t="array" ref="B19">INDEX(B9:H9,1,B18)</f>
        <v>0</v>
      </c>
    </row>
    <row r="20" spans="1:8" x14ac:dyDescent="0.35">
      <c r="A20" s="24" t="s">
        <v>48</v>
      </c>
      <c r="B20" s="15" t="str">
        <f>IF(B14=0,"",B19/B14)</f>
        <v/>
      </c>
    </row>
    <row r="21" spans="1:8" x14ac:dyDescent="0.35">
      <c r="A21" s="22"/>
    </row>
    <row r="22" spans="1:8" x14ac:dyDescent="0.35">
      <c r="A22" s="21" t="s">
        <v>24</v>
      </c>
      <c r="B22" s="12"/>
    </row>
    <row r="23" spans="1:8" x14ac:dyDescent="0.35">
      <c r="A23" s="24" t="s">
        <v>25</v>
      </c>
      <c r="B23" s="17">
        <v>0.26</v>
      </c>
    </row>
    <row r="24" spans="1:8" x14ac:dyDescent="0.35">
      <c r="A24" s="25" t="str">
        <f>"Development process time made "&amp;TEXT(B23,"0%")&amp;" faster"</f>
        <v>Development process time made 26% faster</v>
      </c>
      <c r="B24" s="14">
        <f>B19*(1-B23)</f>
        <v>0</v>
      </c>
    </row>
    <row r="25" spans="1:8" x14ac:dyDescent="0.35">
      <c r="A25" s="25" t="s">
        <v>26</v>
      </c>
      <c r="B25" s="14">
        <f>B14-(B19-B24)</f>
        <v>0</v>
      </c>
    </row>
    <row r="26" spans="1:8" x14ac:dyDescent="0.35">
      <c r="A26" s="25" t="s">
        <v>27</v>
      </c>
      <c r="B26" s="15" t="str">
        <f>IF(B14=0,"",(B14-B25)/B14)</f>
        <v/>
      </c>
    </row>
    <row r="27" spans="1:8" x14ac:dyDescent="0.35">
      <c r="A27" s="25" t="s">
        <v>28</v>
      </c>
      <c r="B27" s="18" t="str">
        <f>IF(COUNT(B11:H11)=0,"",MIN(B11:H11))</f>
        <v/>
      </c>
    </row>
    <row r="28" spans="1:8" x14ac:dyDescent="0.35">
      <c r="A28" s="25" t="s">
        <v>29</v>
      </c>
      <c r="B28" s="13" t="str">
        <f>IF(COUNT(B11:H11)=0,"",INDEX(B8:H8,1,MATCH(MIN(B11:H11),B11:H11,0)))</f>
        <v/>
      </c>
    </row>
    <row r="29" spans="1:8" x14ac:dyDescent="0.35">
      <c r="A29" s="22"/>
    </row>
    <row r="30" spans="1:8" x14ac:dyDescent="0.35">
      <c r="A30" s="23" t="s">
        <v>50</v>
      </c>
      <c r="B30" s="12"/>
    </row>
    <row r="31" spans="1:8" x14ac:dyDescent="0.35">
      <c r="A31" s="25" t="s">
        <v>30</v>
      </c>
      <c r="B31" s="14" t="str">
        <f>IF(COUNT(B10:H10)=0,"",MAX(B10:H10))</f>
        <v/>
      </c>
      <c r="C31" t="str">
        <f>IF(COUNT(B10:H10)=0,"","at: "&amp;INDEX(B8:H8,1,MATCH(MAX(B10:H10),B10:H10,0)))</f>
        <v/>
      </c>
    </row>
    <row r="32" spans="1:8" x14ac:dyDescent="0.35">
      <c r="A32" s="25" t="s">
        <v>31</v>
      </c>
      <c r="B32" s="19"/>
      <c r="C32" s="19"/>
      <c r="D32" s="19"/>
      <c r="E32" s="19"/>
      <c r="F32" s="19"/>
      <c r="G32" s="19"/>
      <c r="H32" s="19"/>
    </row>
    <row r="33" spans="1:8" x14ac:dyDescent="0.35">
      <c r="A33" s="25" t="s">
        <v>32</v>
      </c>
      <c r="B33" s="20"/>
      <c r="C33" s="20"/>
      <c r="D33" s="20"/>
      <c r="E33" s="20"/>
      <c r="F33" s="20"/>
      <c r="G33" s="20"/>
      <c r="H33" s="20"/>
    </row>
    <row r="34" spans="1:8" x14ac:dyDescent="0.35">
      <c r="A34" s="25" t="s">
        <v>49</v>
      </c>
      <c r="B34" s="20"/>
      <c r="C34" s="20"/>
      <c r="D34" s="20"/>
      <c r="E34" s="20"/>
      <c r="F34" s="20"/>
      <c r="G34" s="20"/>
      <c r="H34" s="20"/>
    </row>
  </sheetData>
  <mergeCells count="4">
    <mergeCell ref="B32:H32"/>
    <mergeCell ref="B33:H33"/>
    <mergeCell ref="B34:H34"/>
    <mergeCell ref="A1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9F2A-32D5-4F31-8716-1819037E0168}">
  <dimension ref="A1:C15"/>
  <sheetViews>
    <sheetView workbookViewId="0"/>
  </sheetViews>
  <sheetFormatPr defaultRowHeight="14.5" x14ac:dyDescent="0.35"/>
  <cols>
    <col min="1" max="1" width="43.6328125" customWidth="1"/>
    <col min="2" max="3" width="36.36328125" customWidth="1"/>
  </cols>
  <sheetData>
    <row r="1" spans="1:3" ht="18.5" x14ac:dyDescent="0.45">
      <c r="A1" s="27" t="s">
        <v>33</v>
      </c>
    </row>
    <row r="2" spans="1:3" x14ac:dyDescent="0.35">
      <c r="A2" s="2" t="s">
        <v>34</v>
      </c>
    </row>
    <row r="4" spans="1:3" x14ac:dyDescent="0.35">
      <c r="A4" s="28"/>
      <c r="B4" s="29" t="s">
        <v>35</v>
      </c>
      <c r="C4" s="29" t="s">
        <v>36</v>
      </c>
    </row>
    <row r="5" spans="1:3" ht="29" x14ac:dyDescent="0.35">
      <c r="A5" s="30" t="s">
        <v>37</v>
      </c>
      <c r="B5" s="31" t="s">
        <v>38</v>
      </c>
      <c r="C5" s="31" t="s">
        <v>39</v>
      </c>
    </row>
    <row r="6" spans="1:3" x14ac:dyDescent="0.35">
      <c r="A6" s="30" t="s">
        <v>40</v>
      </c>
      <c r="B6" s="32">
        <v>159</v>
      </c>
      <c r="C6" s="32">
        <v>19</v>
      </c>
    </row>
    <row r="7" spans="1:3" x14ac:dyDescent="0.35">
      <c r="A7" s="30" t="s">
        <v>41</v>
      </c>
      <c r="B7" s="32">
        <v>112</v>
      </c>
      <c r="C7" s="32">
        <v>13</v>
      </c>
    </row>
    <row r="8" spans="1:3" x14ac:dyDescent="0.35">
      <c r="A8" s="30" t="s">
        <v>42</v>
      </c>
      <c r="B8" s="32">
        <v>47</v>
      </c>
      <c r="C8" s="32">
        <v>6</v>
      </c>
    </row>
    <row r="9" spans="1:3" x14ac:dyDescent="0.35">
      <c r="A9" s="30" t="s">
        <v>43</v>
      </c>
      <c r="B9" s="33">
        <v>0.7</v>
      </c>
      <c r="C9" s="33">
        <v>0.84</v>
      </c>
    </row>
    <row r="10" spans="1:3" x14ac:dyDescent="0.35">
      <c r="A10" s="30" t="s">
        <v>44</v>
      </c>
      <c r="B10" s="34">
        <v>0.22</v>
      </c>
      <c r="C10" s="34">
        <v>0.105</v>
      </c>
    </row>
    <row r="11" spans="1:3" x14ac:dyDescent="0.35">
      <c r="A11" s="35"/>
      <c r="B11" s="35"/>
      <c r="C11" s="35"/>
    </row>
    <row r="12" spans="1:3" x14ac:dyDescent="0.35">
      <c r="A12" s="30" t="s">
        <v>25</v>
      </c>
      <c r="B12" s="36">
        <v>0.26</v>
      </c>
      <c r="C12" s="37"/>
    </row>
    <row r="13" spans="1:3" x14ac:dyDescent="0.35">
      <c r="A13" s="30" t="s">
        <v>45</v>
      </c>
      <c r="B13" s="38">
        <f>B10*B6</f>
        <v>34.979999999999997</v>
      </c>
      <c r="C13" s="38">
        <f>C10*C6</f>
        <v>1.9949999999999999</v>
      </c>
    </row>
    <row r="14" spans="1:3" x14ac:dyDescent="0.35">
      <c r="A14" s="30" t="s">
        <v>46</v>
      </c>
      <c r="B14" s="38">
        <f>B13*$B$12</f>
        <v>9.0947999999999993</v>
      </c>
      <c r="C14" s="38">
        <f>C13*$B$12</f>
        <v>0.51869999999999994</v>
      </c>
    </row>
    <row r="15" spans="1:3" x14ac:dyDescent="0.35">
      <c r="A15" s="30" t="s">
        <v>47</v>
      </c>
      <c r="B15" s="34">
        <f>B14/B6</f>
        <v>5.7199999999999994E-2</v>
      </c>
      <c r="C15" s="34">
        <f>C14/C6</f>
        <v>2.7299999999999998E-2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VSM Template</vt:lpstr>
      <vt:lpstr>Worked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Eoin Barry</dc:creator>
  <cp:lastModifiedBy>Eoin Barry</cp:lastModifiedBy>
  <dcterms:created xsi:type="dcterms:W3CDTF">2026-09-01T21:34:37Z</dcterms:created>
  <dcterms:modified xsi:type="dcterms:W3CDTF">2026-09-01T21:40:53Z</dcterms:modified>
</cp:coreProperties>
</file>